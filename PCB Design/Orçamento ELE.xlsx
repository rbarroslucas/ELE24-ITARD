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OneDrive\Área de Trabalho\"/>
    </mc:Choice>
  </mc:AlternateContent>
  <xr:revisionPtr revIDLastSave="0" documentId="8_{FABC4D59-0205-47D6-9CB8-723E94092C31}" xr6:coauthVersionLast="47" xr6:coauthVersionMax="47" xr10:uidLastSave="{00000000-0000-0000-0000-000000000000}"/>
  <bookViews>
    <workbookView xWindow="-120" yWindow="-120" windowWidth="29040" windowHeight="16440" xr2:uid="{21476CB8-D554-4F81-84DC-20A0035E891B}"/>
  </bookViews>
  <sheets>
    <sheet name="ELE 3km" sheetId="2" r:id="rId1"/>
    <sheet name="Orçamento Antigo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2" l="1"/>
  <c r="I12" i="2"/>
  <c r="E21" i="2"/>
  <c r="E20" i="2"/>
  <c r="E17" i="2"/>
  <c r="E16" i="2"/>
  <c r="E3" i="2"/>
  <c r="E14" i="2"/>
  <c r="E12" i="2"/>
  <c r="E11" i="2"/>
  <c r="E7" i="2"/>
  <c r="E5" i="2"/>
  <c r="E4" i="2"/>
  <c r="E15" i="2"/>
  <c r="E18" i="2"/>
  <c r="E19" i="2"/>
  <c r="E13" i="2"/>
  <c r="E30" i="2"/>
  <c r="E32" i="2"/>
  <c r="E33" i="2"/>
  <c r="E8" i="2"/>
  <c r="E6" i="2"/>
  <c r="E9" i="2"/>
  <c r="E35" i="2"/>
  <c r="E25" i="2"/>
  <c r="I17" i="2" s="1"/>
  <c r="E26" i="2"/>
  <c r="E10" i="2"/>
  <c r="E22" i="2"/>
  <c r="E23" i="2"/>
  <c r="E24" i="2"/>
</calcChain>
</file>

<file path=xl/sharedStrings.xml><?xml version="1.0" encoding="utf-8"?>
<sst xmlns="http://schemas.openxmlformats.org/spreadsheetml/2006/main" count="319" uniqueCount="133">
  <si>
    <t>Finalidade / Projeto</t>
  </si>
  <si>
    <t>Descrição do Item</t>
  </si>
  <si>
    <t>Preço Individual</t>
  </si>
  <si>
    <t>Frete</t>
  </si>
  <si>
    <t>Qtd</t>
  </si>
  <si>
    <t>Total</t>
  </si>
  <si>
    <t>Link de Consulta</t>
  </si>
  <si>
    <t>Cabo Coaxial 15cm</t>
  </si>
  <si>
    <t>SmartCore</t>
  </si>
  <si>
    <t>Telemetria</t>
  </si>
  <si>
    <t>Antena 915MHz Alto Ganho</t>
  </si>
  <si>
    <t>Antena 900Mhz Yagi Alto Ganho 20 dBi</t>
  </si>
  <si>
    <t>Leroy Merlin</t>
  </si>
  <si>
    <t>Dissipador de calor de alumínio</t>
  </si>
  <si>
    <t>MakerHero</t>
  </si>
  <si>
    <t>Suporte 3 Baterias 18650</t>
  </si>
  <si>
    <t>Carregador Bateria 3S 1A</t>
  </si>
  <si>
    <t>Casa da Robótica</t>
  </si>
  <si>
    <t>Conector P4</t>
  </si>
  <si>
    <t>Eletrogate</t>
  </si>
  <si>
    <t>Fêmea P4</t>
  </si>
  <si>
    <t>Voltimetro Bateria</t>
  </si>
  <si>
    <t>Mini Step Down</t>
  </si>
  <si>
    <t>Step Down com voltímetro</t>
  </si>
  <si>
    <t>Bateria de chumbo ácido selada 12V</t>
  </si>
  <si>
    <t>Geral</t>
  </si>
  <si>
    <t>Diodo Schottky</t>
  </si>
  <si>
    <t>Savarati</t>
  </si>
  <si>
    <t>Conector Borne</t>
  </si>
  <si>
    <t>Resistores</t>
  </si>
  <si>
    <t>Espaçadores M3</t>
  </si>
  <si>
    <t>Parafusos M3</t>
  </si>
  <si>
    <t>Capacitores</t>
  </si>
  <si>
    <t>Rastreador Carro St-903</t>
  </si>
  <si>
    <t>Magazine Luisa</t>
  </si>
  <si>
    <t>Buzzer Passivo 3.3V</t>
  </si>
  <si>
    <t>SmartKits</t>
  </si>
  <si>
    <t>Conversor ADC 24 bits</t>
  </si>
  <si>
    <t>Strain Gauge</t>
  </si>
  <si>
    <t>SD Card 64 GB</t>
  </si>
  <si>
    <t>Usina Info</t>
  </si>
  <si>
    <t>Energia</t>
  </si>
  <si>
    <t>Step Down (LM2596DC/DC)</t>
  </si>
  <si>
    <t>Processamento</t>
  </si>
  <si>
    <t>STM32 Blue Pill</t>
  </si>
  <si>
    <t>Raspberry pi Zero 2W</t>
  </si>
  <si>
    <t>Sensoriamento</t>
  </si>
  <si>
    <t>MPU 9250</t>
  </si>
  <si>
    <t>Robocore</t>
  </si>
  <si>
    <t>BMP-280</t>
  </si>
  <si>
    <t>ESP32 LoRa</t>
  </si>
  <si>
    <t>Saravati</t>
  </si>
  <si>
    <t> GSM SIM800L</t>
  </si>
  <si>
    <t> GPS GY-NEO6MV2</t>
  </si>
  <si>
    <t>Total (Sem Frete)</t>
  </si>
  <si>
    <t>Capacitor Polarizado 100nF</t>
  </si>
  <si>
    <t>Suporte Bateria 18650 Li-Íon</t>
  </si>
  <si>
    <t>Bateria 18650 Li-Íon (2600 mAh)</t>
  </si>
  <si>
    <t>Diodo Schotky</t>
  </si>
  <si>
    <t>Rastreador de Carro ST-903</t>
  </si>
  <si>
    <t>Magazine Luiza</t>
  </si>
  <si>
    <t>Interface</t>
  </si>
  <si>
    <t>Buzzer Passivo 5V</t>
  </si>
  <si>
    <t xml:space="preserve">Conversor ADC (hx711) </t>
  </si>
  <si>
    <t>Straing Gauge</t>
  </si>
  <si>
    <t>Cartão Sd</t>
  </si>
  <si>
    <t>Amazon</t>
  </si>
  <si>
    <t>Conector P4 Fêmea Jack</t>
  </si>
  <si>
    <t>Conector P4 Macho</t>
  </si>
  <si>
    <t>Conector P4 Macho com Borne</t>
  </si>
  <si>
    <t>LED Azul</t>
  </si>
  <si>
    <t>LED Vermelho</t>
  </si>
  <si>
    <t>Mosfet/Transistor (DGS)</t>
  </si>
  <si>
    <t>Raspberry Pi Zero 2w</t>
  </si>
  <si>
    <t>MPU9250</t>
  </si>
  <si>
    <t>BMP280</t>
  </si>
  <si>
    <t>Lojas</t>
  </si>
  <si>
    <t>Total Fretes:</t>
  </si>
  <si>
    <t>Compra Única (Reutilizável)</t>
  </si>
  <si>
    <t>ELE para 1 foguete (3km)</t>
  </si>
  <si>
    <t>Loja Aquario</t>
  </si>
  <si>
    <t>Total Subsistema ELE:</t>
  </si>
  <si>
    <t>Linha de Fogo 3.0</t>
  </si>
  <si>
    <t>Módulo Regulador de Tensão Step Up XL6009 com Display Voltímetro</t>
  </si>
  <si>
    <t>Chave Alavanca Metálica KN-1322 On-Off-On 6</t>
  </si>
  <si>
    <t>Ponto da Eletrônica</t>
  </si>
  <si>
    <t>Led Alto Brilho Vermelho</t>
  </si>
  <si>
    <t>Caixa Plástica</t>
  </si>
  <si>
    <t>Borne p/ Plug Banana B10 4mm</t>
  </si>
  <si>
    <t>Plug Borne Banana 4mm</t>
  </si>
  <si>
    <t>Terminal Faston Fêmea</t>
  </si>
  <si>
    <t>Cabo Garra Jacaré x10 Unidades</t>
  </si>
  <si>
    <t>Cabo 2.5mm vermelho (50 mts)</t>
  </si>
  <si>
    <t>Cabo 2.5mm preto (50 mts)</t>
  </si>
  <si>
    <t>Filme de cobre para blindagem</t>
  </si>
  <si>
    <t>Chave Pacri</t>
  </si>
  <si>
    <t>Mult Comercial</t>
  </si>
  <si>
    <t>Botão de Acrílico Iluminado 60mm</t>
  </si>
  <si>
    <t>Smart Kits</t>
  </si>
  <si>
    <t>Buzzer Ativo 9V</t>
  </si>
  <si>
    <t>Voltímetro digital</t>
  </si>
  <si>
    <t>Filamento PLA Transparente</t>
  </si>
  <si>
    <t>3dLabs</t>
  </si>
  <si>
    <t>Bobina para Carretel</t>
  </si>
  <si>
    <t>Bateria de chumbo ácido selada 6V</t>
  </si>
  <si>
    <t>Kabum</t>
  </si>
  <si>
    <t>Conduíte</t>
  </si>
  <si>
    <t>ELE para 2 foguetes</t>
  </si>
  <si>
    <t>ESP-32 LoRa</t>
  </si>
  <si>
    <t>6 Baterias Li-ion 18650</t>
  </si>
  <si>
    <t>Step Down</t>
  </si>
  <si>
    <t>GPS Neo-6m</t>
  </si>
  <si>
    <t>LED Alto brilho RGB</t>
  </si>
  <si>
    <t>Câmera Espiã</t>
  </si>
  <si>
    <t>Produção de PCBs</t>
  </si>
  <si>
    <t>JLCPCB</t>
  </si>
  <si>
    <t>Pesquisa</t>
  </si>
  <si>
    <t>STM32F103 Bluepill</t>
  </si>
  <si>
    <t>Mosfet</t>
  </si>
  <si>
    <t>Módulo GSM GPRS</t>
  </si>
  <si>
    <t>Módulo CAN</t>
  </si>
  <si>
    <t>Conversor TTL</t>
  </si>
  <si>
    <t>Usina info</t>
  </si>
  <si>
    <t>Material</t>
  </si>
  <si>
    <t>Estação de Solda</t>
  </si>
  <si>
    <t>Chave Phillips de Precisão</t>
  </si>
  <si>
    <t>Casa do Mecânico</t>
  </si>
  <si>
    <t>Chave Allen</t>
  </si>
  <si>
    <t>Alicate de Corte</t>
  </si>
  <si>
    <t>Arduino Uno</t>
  </si>
  <si>
    <t>Tubo Termoretrátil</t>
  </si>
  <si>
    <t>Solda</t>
  </si>
  <si>
    <t>Multímetro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</si>
</sst>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9" formatCode="&quot;R$&quot;\ #,##0.00"/>
  </numFmts>
  <fonts count="1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theme="1"/>
      <name val="Google Sans Mono"/>
    </font>
    <font>
      <sz val="10"/>
      <color theme="1"/>
      <name val="Arial"/>
      <family val="2"/>
    </font>
    <font>
      <sz val="10"/>
      <color theme="1"/>
      <name val="Google Sans Mono"/>
    </font>
    <font>
      <b/>
      <sz val="10"/>
      <color rgb="FF1155CC"/>
      <name val="Google Sans Mono"/>
    </font>
    <font>
      <u/>
      <sz val="11"/>
      <color theme="1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0"/>
      <color theme="1"/>
      <name val="Google Sans Mono"/>
    </font>
    <font>
      <b/>
      <sz val="9"/>
      <color rgb="FF1155CC"/>
      <name val="Google Sans Mono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ck">
        <color rgb="FF000000"/>
      </right>
      <top/>
      <bottom style="dotted">
        <color rgb="FF000000"/>
      </bottom>
      <diagonal/>
    </border>
    <border>
      <left/>
      <right/>
      <top/>
      <bottom style="mediumDashed">
        <color rgb="FF000000"/>
      </bottom>
      <diagonal/>
    </border>
    <border>
      <left/>
      <right style="thick">
        <color rgb="FF000000"/>
      </right>
      <top/>
      <bottom style="mediumDashed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Font="1"/>
    <xf numFmtId="0" fontId="0" fillId="0" borderId="0" xfId="0" applyFont="1" applyBorder="1"/>
    <xf numFmtId="169" fontId="0" fillId="0" borderId="0" xfId="0" applyNumberFormat="1" applyFont="1"/>
    <xf numFmtId="0" fontId="7" fillId="2" borderId="0" xfId="0" applyFont="1" applyFill="1"/>
    <xf numFmtId="169" fontId="7" fillId="2" borderId="0" xfId="0" applyNumberFormat="1" applyFont="1" applyFill="1"/>
    <xf numFmtId="0" fontId="0" fillId="0" borderId="0" xfId="0" applyFont="1" applyFill="1" applyBorder="1" applyAlignment="1">
      <alignment horizontal="center" wrapText="1"/>
    </xf>
    <xf numFmtId="0" fontId="0" fillId="0" borderId="0" xfId="0" applyFont="1" applyFill="1"/>
    <xf numFmtId="8" fontId="0" fillId="0" borderId="0" xfId="0" applyNumberFormat="1" applyFont="1" applyFill="1"/>
    <xf numFmtId="0" fontId="6" fillId="0" borderId="0" xfId="1" applyFill="1"/>
    <xf numFmtId="0" fontId="0" fillId="0" borderId="1" xfId="0" applyFont="1" applyFill="1" applyBorder="1"/>
    <xf numFmtId="0" fontId="0" fillId="0" borderId="2" xfId="0" applyFont="1" applyFill="1" applyBorder="1"/>
    <xf numFmtId="8" fontId="0" fillId="0" borderId="2" xfId="0" applyNumberFormat="1" applyFont="1" applyFill="1" applyBorder="1"/>
    <xf numFmtId="0" fontId="6" fillId="0" borderId="3" xfId="1" applyFill="1" applyBorder="1"/>
    <xf numFmtId="0" fontId="6" fillId="0" borderId="3" xfId="1" applyFont="1" applyFill="1" applyBorder="1"/>
    <xf numFmtId="0" fontId="1" fillId="0" borderId="8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9" xfId="0" applyFont="1" applyFill="1" applyBorder="1" applyAlignment="1">
      <alignment horizontal="center" wrapText="1"/>
    </xf>
    <xf numFmtId="0" fontId="0" fillId="0" borderId="6" xfId="0" applyFont="1" applyFill="1" applyBorder="1"/>
    <xf numFmtId="0" fontId="0" fillId="0" borderId="5" xfId="0" applyFont="1" applyFill="1" applyBorder="1"/>
    <xf numFmtId="8" fontId="0" fillId="0" borderId="5" xfId="0" applyNumberFormat="1" applyFont="1" applyFill="1" applyBorder="1"/>
    <xf numFmtId="0" fontId="6" fillId="0" borderId="7" xfId="1" applyFont="1" applyFill="1" applyBorder="1"/>
    <xf numFmtId="0" fontId="8" fillId="2" borderId="4" xfId="0" applyFont="1" applyFill="1" applyBorder="1" applyAlignment="1">
      <alignment horizontal="center"/>
    </xf>
    <xf numFmtId="0" fontId="0" fillId="0" borderId="0" xfId="0" applyFont="1" applyFill="1" applyBorder="1"/>
    <xf numFmtId="8" fontId="0" fillId="0" borderId="0" xfId="0" applyNumberFormat="1" applyFont="1" applyFill="1" applyBorder="1"/>
    <xf numFmtId="0" fontId="6" fillId="0" borderId="0" xfId="1" applyFill="1" applyBorder="1"/>
    <xf numFmtId="0" fontId="3" fillId="3" borderId="0" xfId="0" applyFont="1" applyFill="1" applyAlignment="1">
      <alignment vertical="center" wrapText="1"/>
    </xf>
    <xf numFmtId="0" fontId="3" fillId="3" borderId="10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8" fontId="4" fillId="0" borderId="12" xfId="0" applyNumberFormat="1" applyFont="1" applyBorder="1" applyAlignment="1">
      <alignment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8" fontId="4" fillId="0" borderId="0" xfId="0" applyNumberFormat="1" applyFont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8" fontId="4" fillId="0" borderId="15" xfId="0" applyNumberFormat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6" fillId="0" borderId="11" xfId="1" applyBorder="1" applyAlignment="1">
      <alignment horizontal="center" vertical="center" wrapText="1"/>
    </xf>
    <xf numFmtId="8" fontId="4" fillId="0" borderId="17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8" fontId="4" fillId="0" borderId="10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R$&quot;\ #,##0.00;[Red]\-&quot;R$&quot;\ #,##0.0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R$&quot;\ #,##0.00;[Red]\-&quot;R$&quot;\ #,##0.0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R$&quot;\ #,##0.00;[Red]\-&quot;R$&quot;\ #,##0.00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R$&quot;\ #,##0.00;[Red]\-&quot;R$&quot;\ #,##0.00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8BFE00-2843-4C64-AADF-0E1A519131B4}" name="Table2" displayName="Table2" ref="A2:F26" totalsRowShown="0" headerRowDxfId="10" dataDxfId="9">
  <autoFilter ref="A2:F26" xr:uid="{168BFE00-2843-4C64-AADF-0E1A519131B4}"/>
  <sortState xmlns:xlrd2="http://schemas.microsoft.com/office/spreadsheetml/2017/richdata2" ref="A3:F26">
    <sortCondition ref="A2:A26"/>
  </sortState>
  <tableColumns count="6">
    <tableColumn id="1" xr3:uid="{B88DA882-1926-47C2-911E-2CC9DB60F831}" name="Finalidade / Projeto" dataDxfId="16"/>
    <tableColumn id="2" xr3:uid="{35E9AB75-73CB-42F4-BA6E-771B5558E4B9}" name="Descrição do Item" dataDxfId="15"/>
    <tableColumn id="3" xr3:uid="{EC86E690-BA70-48BA-9602-95A9AAA4CB65}" name="Preço Individual" dataDxfId="14"/>
    <tableColumn id="5" xr3:uid="{B030635D-DE1F-4C7A-8ACB-5C2D0B178C00}" name="Qtd" dataDxfId="13"/>
    <tableColumn id="6" xr3:uid="{006FEAF2-DE19-4FD1-93BA-2D890CF56533}" name="Total (Sem Frete)" dataDxfId="12">
      <calculatedColumnFormula>D6*C6</calculatedColumnFormula>
    </tableColumn>
    <tableColumn id="7" xr3:uid="{E71B4F13-DA5A-40EA-B7E3-43873A6310D4}" name="Link de Consulta" dataDxfId="11" dataCellStyle="Hyper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F683EE-911A-479F-8CDB-4ABC70C559A5}" name="Table3" displayName="Table3" ref="H2:I11" totalsRowShown="0" headerRowDxfId="17">
  <autoFilter ref="H2:I11" xr:uid="{A2F683EE-911A-479F-8CDB-4ABC70C559A5}"/>
  <tableColumns count="2">
    <tableColumn id="1" xr3:uid="{36A056F9-D722-4D67-96DE-F001D27BAA47}" name="Lojas" dataDxfId="19"/>
    <tableColumn id="2" xr3:uid="{A560E94B-B582-4DAE-B93E-C1F92A498FF5}" name="Frete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20CF04-1AF0-4C89-8FD5-CC044E8FE606}" name="Table5" displayName="Table5" ref="A29:F35" totalsRowShown="0" headerRowDxfId="0" headerRowBorderDxfId="7" tableBorderDxfId="8">
  <autoFilter ref="A29:F35" xr:uid="{5D20CF04-1AF0-4C89-8FD5-CC044E8FE606}"/>
  <tableColumns count="6">
    <tableColumn id="1" xr3:uid="{749F20AC-9A0A-48B1-A0DF-AC943A175B18}" name="Finalidade / Projeto" dataDxfId="6"/>
    <tableColumn id="2" xr3:uid="{669392BE-3B65-4F1D-B9AF-2873F4DD2CDD}" name="Descrição do Item" dataDxfId="5"/>
    <tableColumn id="3" xr3:uid="{2AB1F435-25EE-4D8C-A207-C789CB3D6612}" name="Preço Individual" dataDxfId="4"/>
    <tableColumn id="4" xr3:uid="{2BD8E172-1698-4C71-AC2A-B08074D68B49}" name="Qtd" dataDxfId="3"/>
    <tableColumn id="5" xr3:uid="{0AD38492-7276-4685-AD08-C13EDF816DFD}" name="Total (Sem Frete)" dataDxfId="2"/>
    <tableColumn id="6" xr3:uid="{8EB33196-52C0-4278-853A-5F79A3D2FA06}" name="Link de Consulta" dataDxfId="1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sinainfo.com.br/suporte-para-pilhas/suporte-para-3-baterias-18650-li-ion-5654.html?search_query=Suporte+Baterias+18650&amp;results=12" TargetMode="External"/><Relationship Id="rId13" Type="http://schemas.openxmlformats.org/officeDocument/2006/relationships/hyperlink" Target="https://m.magazineluiza.com.br/mini-rastreador-sinotrack-st-903-gps-locazidaor-em-tempo-real-carro-moto-criancas-malas-em-viagens-sinotracker/p/fah390c680/au/almo/" TargetMode="External"/><Relationship Id="rId18" Type="http://schemas.openxmlformats.org/officeDocument/2006/relationships/hyperlink" Target="https://www.eletrogate.com/conector-jack-p4-femea-j4-21mm" TargetMode="External"/><Relationship Id="rId26" Type="http://schemas.openxmlformats.org/officeDocument/2006/relationships/hyperlink" Target="https://www.saravati.com.br/modulo-acelerometro-e-giroscopio-9-eixos-mpu-9250-gy-9250.html" TargetMode="External"/><Relationship Id="rId3" Type="http://schemas.openxmlformats.org/officeDocument/2006/relationships/hyperlink" Target="https://www.makerhero.com/produto/modulo-esp32-lora-sx1276-868-915mhz-com-oled/" TargetMode="External"/><Relationship Id="rId21" Type="http://schemas.openxmlformats.org/officeDocument/2006/relationships/hyperlink" Target="https://www.makerhero.com/produto/led-alto-brilho-5mm-azul/" TargetMode="External"/><Relationship Id="rId7" Type="http://schemas.openxmlformats.org/officeDocument/2006/relationships/hyperlink" Target="https://www.makerhero.com/produto/capacitor-eletrolitico-1%c2%b5f-50v/" TargetMode="External"/><Relationship Id="rId12" Type="http://schemas.openxmlformats.org/officeDocument/2006/relationships/hyperlink" Target="https://www.makerhero.com/produto/kit-parafusos-philips-m3-x300-unidades/" TargetMode="External"/><Relationship Id="rId17" Type="http://schemas.openxmlformats.org/officeDocument/2006/relationships/hyperlink" Target="https://www.amazon.com.br/Cartao-Memoria-Sandisk-Microsdxc-Adapter/dp/B08HVXL4CB/ref=sr_1_5_mod_primary_new?__mk_pt_BR=%C3%85M%C3%85%C5%BD%C3%95%C3%91&amp;sbo=RZvfv%2F%2FHxDF%2BO5021pAnSA%3D%3D&amp;sr=8-5" TargetMode="External"/><Relationship Id="rId25" Type="http://schemas.openxmlformats.org/officeDocument/2006/relationships/hyperlink" Target="https://www.makerhero.com/produto/raspberry-pi-zero-2-w/" TargetMode="External"/><Relationship Id="rId2" Type="http://schemas.openxmlformats.org/officeDocument/2006/relationships/hyperlink" Target="https://loja.smartcore.com.br/pigtail-com-conectores-smamst-e-smafst-cabo-rg-174-comprimento-250mm" TargetMode="External"/><Relationship Id="rId16" Type="http://schemas.openxmlformats.org/officeDocument/2006/relationships/hyperlink" Target="https://www.saravati.com.br/modulo-conversor-24-bits-adc-hx711.html" TargetMode="External"/><Relationship Id="rId20" Type="http://schemas.openxmlformats.org/officeDocument/2006/relationships/hyperlink" Target="https://www.makerhero.com/produto/conector-adaptador-plug-p4-macho-com-borne/" TargetMode="External"/><Relationship Id="rId29" Type="http://schemas.openxmlformats.org/officeDocument/2006/relationships/table" Target="../tables/table1.xml"/><Relationship Id="rId1" Type="http://schemas.openxmlformats.org/officeDocument/2006/relationships/hyperlink" Target="https://loja.smartcore.com.br/antena-915mhz-articulada-conector-rp-smam-an915-art-rpsmam-js" TargetMode="External"/><Relationship Id="rId6" Type="http://schemas.openxmlformats.org/officeDocument/2006/relationships/hyperlink" Target="https://www.makerhero.com/produto/conector-borne-kre-2-vias/" TargetMode="External"/><Relationship Id="rId11" Type="http://schemas.openxmlformats.org/officeDocument/2006/relationships/hyperlink" Target="https://www.saravati.com.br/kit-espacadores-m3-bronze-fxf-fxm-300-unidades.html" TargetMode="External"/><Relationship Id="rId24" Type="http://schemas.openxmlformats.org/officeDocument/2006/relationships/hyperlink" Target="https://www.makerhero.com/produto/placa-de-desenvolvimento-stm32-para-arduino/" TargetMode="External"/><Relationship Id="rId5" Type="http://schemas.openxmlformats.org/officeDocument/2006/relationships/hyperlink" Target="https://www.usinainfo.com.br/gps-arduino/modulo-gsm-arduino-sim800l-gprssms-quad-band-original-8526.html" TargetMode="External"/><Relationship Id="rId15" Type="http://schemas.openxmlformats.org/officeDocument/2006/relationships/hyperlink" Target="https://www.eletrogate.com/sensor-extensometro-transdutor-strain-gauge-bf350" TargetMode="External"/><Relationship Id="rId23" Type="http://schemas.openxmlformats.org/officeDocument/2006/relationships/hyperlink" Target="https://www.casadarobotica.com/fonte-e-conversores/conversores-dc-dc/step-down/regulador-de-tensao-step-down-buck-conversor-dc-dc-lm2596-3a" TargetMode="External"/><Relationship Id="rId28" Type="http://schemas.openxmlformats.org/officeDocument/2006/relationships/hyperlink" Target="https://loja.aquario.com.br/antena-celular-900mhz-20dbi-cf-920/p" TargetMode="External"/><Relationship Id="rId10" Type="http://schemas.openxmlformats.org/officeDocument/2006/relationships/hyperlink" Target="https://www.saravati.com.br/diodo-retificador-sb3200-do-201ad.html" TargetMode="External"/><Relationship Id="rId19" Type="http://schemas.openxmlformats.org/officeDocument/2006/relationships/hyperlink" Target="https://www.eletrogate.com/plug-p4-macho" TargetMode="External"/><Relationship Id="rId31" Type="http://schemas.openxmlformats.org/officeDocument/2006/relationships/table" Target="../tables/table3.xml"/><Relationship Id="rId4" Type="http://schemas.openxmlformats.org/officeDocument/2006/relationships/hyperlink" Target="https://www.usinainfo.com.br/gps-arduino/modulo-gps-arduino-gy-neo6mv2-antena-2531.html" TargetMode="External"/><Relationship Id="rId9" Type="http://schemas.openxmlformats.org/officeDocument/2006/relationships/hyperlink" Target="https://www.makerhero.com/produto/bateria-18650-recarregavel-li-ion/" TargetMode="External"/><Relationship Id="rId14" Type="http://schemas.openxmlformats.org/officeDocument/2006/relationships/hyperlink" Target="https://www.saravati.com.br/buzzer-passivo-5v.html" TargetMode="External"/><Relationship Id="rId22" Type="http://schemas.openxmlformats.org/officeDocument/2006/relationships/hyperlink" Target="https://www.makerhero.com/produto/led-alto-brilho-5mm-vermelho/" TargetMode="External"/><Relationship Id="rId27" Type="http://schemas.openxmlformats.org/officeDocument/2006/relationships/hyperlink" Target="https://www.saravati.com.br/sensor-de-pressao-bmp280-barometrico-3v-6-pinos.html" TargetMode="External"/><Relationship Id="rId30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letrogate.com/modulo-gsm-gprs-sim800l-antena-sma?utm_source=google&amp;utm_medium=cpc&amp;utm_campaign=%5bMC4%5d_%5bPMax%5d_PrincipaisCategorias&amp;utm_content&amp;utm_term&amp;gad=1" TargetMode="External"/><Relationship Id="rId1" Type="http://schemas.openxmlformats.org/officeDocument/2006/relationships/hyperlink" Target="https://www.saravati.com.br/diodo-schottky-mbr10100ctg-isolado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390C2-543C-485A-B3EF-633272CC4FF9}">
  <dimension ref="A1:I35"/>
  <sheetViews>
    <sheetView tabSelected="1" workbookViewId="0">
      <selection activeCell="B15" sqref="B15"/>
    </sheetView>
  </sheetViews>
  <sheetFormatPr defaultRowHeight="15"/>
  <cols>
    <col min="1" max="6" width="34.140625" style="1" customWidth="1"/>
    <col min="7" max="7" width="9.140625" style="1" customWidth="1"/>
    <col min="8" max="9" width="18" style="1" customWidth="1"/>
    <col min="10" max="16384" width="9.140625" style="1"/>
  </cols>
  <sheetData>
    <row r="1" spans="1:9" s="2" customFormat="1" ht="21">
      <c r="A1" s="22" t="s">
        <v>79</v>
      </c>
      <c r="B1" s="22"/>
      <c r="C1" s="22"/>
      <c r="D1" s="22"/>
      <c r="E1" s="22"/>
      <c r="F1" s="22"/>
    </row>
    <row r="2" spans="1:9">
      <c r="A2" s="6" t="s">
        <v>0</v>
      </c>
      <c r="B2" s="6" t="s">
        <v>1</v>
      </c>
      <c r="C2" s="6" t="s">
        <v>2</v>
      </c>
      <c r="D2" s="6" t="s">
        <v>4</v>
      </c>
      <c r="E2" s="6" t="s">
        <v>54</v>
      </c>
      <c r="F2" s="6" t="s">
        <v>6</v>
      </c>
      <c r="H2" s="1" t="s">
        <v>76</v>
      </c>
      <c r="I2" s="1" t="s">
        <v>3</v>
      </c>
    </row>
    <row r="3" spans="1:9">
      <c r="A3" s="7" t="s">
        <v>41</v>
      </c>
      <c r="B3" s="7" t="s">
        <v>42</v>
      </c>
      <c r="C3" s="8">
        <v>11.99</v>
      </c>
      <c r="D3" s="7">
        <v>2</v>
      </c>
      <c r="E3" s="8">
        <f>D3*C3</f>
        <v>23.98</v>
      </c>
      <c r="F3" s="9" t="s">
        <v>17</v>
      </c>
      <c r="H3" s="1" t="s">
        <v>66</v>
      </c>
      <c r="I3" s="3">
        <v>7.03</v>
      </c>
    </row>
    <row r="4" spans="1:9">
      <c r="A4" s="7" t="s">
        <v>41</v>
      </c>
      <c r="B4" s="7" t="s">
        <v>67</v>
      </c>
      <c r="C4" s="8">
        <v>0.9</v>
      </c>
      <c r="D4" s="7">
        <v>2</v>
      </c>
      <c r="E4" s="8">
        <f>D4*C4</f>
        <v>1.8</v>
      </c>
      <c r="F4" s="9" t="s">
        <v>19</v>
      </c>
      <c r="H4" s="1" t="s">
        <v>17</v>
      </c>
      <c r="I4" s="3">
        <v>23</v>
      </c>
    </row>
    <row r="5" spans="1:9">
      <c r="A5" s="7" t="s">
        <v>41</v>
      </c>
      <c r="B5" s="7" t="s">
        <v>68</v>
      </c>
      <c r="C5" s="8">
        <v>1.8</v>
      </c>
      <c r="D5" s="7">
        <v>1</v>
      </c>
      <c r="E5" s="8">
        <f>D5*C5</f>
        <v>1.8</v>
      </c>
      <c r="F5" s="9" t="s">
        <v>19</v>
      </c>
      <c r="H5" s="1" t="s">
        <v>19</v>
      </c>
      <c r="I5" s="3">
        <v>10</v>
      </c>
    </row>
    <row r="6" spans="1:9">
      <c r="A6" s="7" t="s">
        <v>41</v>
      </c>
      <c r="B6" s="7" t="s">
        <v>57</v>
      </c>
      <c r="C6" s="8">
        <v>71.150000000000006</v>
      </c>
      <c r="D6" s="7">
        <v>3</v>
      </c>
      <c r="E6" s="8">
        <f>D6*C6</f>
        <v>213.45000000000002</v>
      </c>
      <c r="F6" s="9" t="s">
        <v>14</v>
      </c>
      <c r="H6" s="1" t="s">
        <v>80</v>
      </c>
      <c r="I6" s="3">
        <v>0</v>
      </c>
    </row>
    <row r="7" spans="1:9">
      <c r="A7" s="7" t="s">
        <v>41</v>
      </c>
      <c r="B7" s="7" t="s">
        <v>69</v>
      </c>
      <c r="C7" s="8">
        <v>3.7</v>
      </c>
      <c r="D7" s="7">
        <v>1</v>
      </c>
      <c r="E7" s="8">
        <f>D7*C7</f>
        <v>3.7</v>
      </c>
      <c r="F7" s="9" t="s">
        <v>14</v>
      </c>
      <c r="H7" s="1" t="s">
        <v>60</v>
      </c>
      <c r="I7" s="3">
        <v>34.9</v>
      </c>
    </row>
    <row r="8" spans="1:9">
      <c r="A8" s="7" t="s">
        <v>41</v>
      </c>
      <c r="B8" s="7" t="s">
        <v>58</v>
      </c>
      <c r="C8" s="8">
        <v>1.7</v>
      </c>
      <c r="D8" s="7">
        <v>3</v>
      </c>
      <c r="E8" s="8">
        <f>D8*C8</f>
        <v>5.0999999999999996</v>
      </c>
      <c r="F8" s="9" t="s">
        <v>27</v>
      </c>
      <c r="H8" s="1" t="s">
        <v>14</v>
      </c>
      <c r="I8" s="3">
        <v>22</v>
      </c>
    </row>
    <row r="9" spans="1:9">
      <c r="A9" s="7" t="s">
        <v>41</v>
      </c>
      <c r="B9" s="7" t="s">
        <v>56</v>
      </c>
      <c r="C9" s="8">
        <v>9.48</v>
      </c>
      <c r="D9" s="7">
        <v>1</v>
      </c>
      <c r="E9" s="8">
        <f>D9*C9</f>
        <v>9.48</v>
      </c>
      <c r="F9" s="9" t="s">
        <v>40</v>
      </c>
      <c r="H9" s="1" t="s">
        <v>51</v>
      </c>
      <c r="I9" s="3">
        <v>15</v>
      </c>
    </row>
    <row r="10" spans="1:9">
      <c r="A10" s="7" t="s">
        <v>61</v>
      </c>
      <c r="B10" s="23" t="s">
        <v>28</v>
      </c>
      <c r="C10" s="24">
        <v>0.94</v>
      </c>
      <c r="D10" s="23">
        <v>5</v>
      </c>
      <c r="E10" s="24">
        <f>D10*C10</f>
        <v>4.6999999999999993</v>
      </c>
      <c r="F10" s="25" t="s">
        <v>14</v>
      </c>
      <c r="H10" s="1" t="s">
        <v>8</v>
      </c>
      <c r="I10" s="3">
        <v>30</v>
      </c>
    </row>
    <row r="11" spans="1:9">
      <c r="A11" s="7" t="s">
        <v>61</v>
      </c>
      <c r="B11" s="7" t="s">
        <v>70</v>
      </c>
      <c r="C11" s="8">
        <v>0.24</v>
      </c>
      <c r="D11" s="7">
        <v>2</v>
      </c>
      <c r="E11" s="8">
        <f>D11*C11</f>
        <v>0.48</v>
      </c>
      <c r="F11" s="9" t="s">
        <v>14</v>
      </c>
      <c r="H11" s="1" t="s">
        <v>40</v>
      </c>
      <c r="I11" s="3">
        <v>24</v>
      </c>
    </row>
    <row r="12" spans="1:9" ht="18.75">
      <c r="A12" s="7" t="s">
        <v>61</v>
      </c>
      <c r="B12" s="7" t="s">
        <v>71</v>
      </c>
      <c r="C12" s="8">
        <v>1.24</v>
      </c>
      <c r="D12" s="7">
        <v>2</v>
      </c>
      <c r="E12" s="8">
        <f>D12*C12</f>
        <v>2.48</v>
      </c>
      <c r="F12" s="9" t="s">
        <v>14</v>
      </c>
      <c r="H12" s="4" t="s">
        <v>77</v>
      </c>
      <c r="I12" s="5">
        <f>SUM(I3:I11)</f>
        <v>165.93</v>
      </c>
    </row>
    <row r="13" spans="1:9">
      <c r="A13" s="7" t="s">
        <v>61</v>
      </c>
      <c r="B13" s="7" t="s">
        <v>62</v>
      </c>
      <c r="C13" s="8">
        <v>2.7</v>
      </c>
      <c r="D13" s="7">
        <v>2</v>
      </c>
      <c r="E13" s="8">
        <f>D13*C13</f>
        <v>5.4</v>
      </c>
      <c r="F13" s="9" t="s">
        <v>27</v>
      </c>
    </row>
    <row r="14" spans="1:9">
      <c r="A14" s="7" t="s">
        <v>61</v>
      </c>
      <c r="B14" s="7" t="s">
        <v>72</v>
      </c>
      <c r="C14" s="8"/>
      <c r="D14" s="7"/>
      <c r="E14" s="8">
        <f>D14*C14</f>
        <v>0</v>
      </c>
      <c r="F14" s="9"/>
    </row>
    <row r="15" spans="1:9">
      <c r="A15" s="7" t="s">
        <v>43</v>
      </c>
      <c r="B15" s="7" t="s">
        <v>65</v>
      </c>
      <c r="C15" s="8">
        <v>49</v>
      </c>
      <c r="D15" s="7">
        <v>1</v>
      </c>
      <c r="E15" s="8">
        <f>D15*C15</f>
        <v>49</v>
      </c>
      <c r="F15" s="9" t="s">
        <v>66</v>
      </c>
    </row>
    <row r="16" spans="1:9">
      <c r="A16" s="7" t="s">
        <v>43</v>
      </c>
      <c r="B16" s="7" t="s">
        <v>44</v>
      </c>
      <c r="C16" s="8">
        <v>28.9</v>
      </c>
      <c r="D16" s="7">
        <v>1</v>
      </c>
      <c r="E16" s="8">
        <f>D16*C16</f>
        <v>28.9</v>
      </c>
      <c r="F16" s="9" t="s">
        <v>14</v>
      </c>
    </row>
    <row r="17" spans="1:9" ht="18.75">
      <c r="A17" s="7" t="s">
        <v>43</v>
      </c>
      <c r="B17" s="7" t="s">
        <v>73</v>
      </c>
      <c r="C17" s="8">
        <v>215</v>
      </c>
      <c r="D17" s="7">
        <v>1</v>
      </c>
      <c r="E17" s="8">
        <f>D17*C17</f>
        <v>215</v>
      </c>
      <c r="F17" s="9" t="s">
        <v>14</v>
      </c>
      <c r="H17" s="4" t="s">
        <v>77</v>
      </c>
      <c r="I17" s="5">
        <f>I12+SUM(Table2[Total (Sem Frete)])+SUM(Table5[Total (Sem Frete)])</f>
        <v>2363.7600000000002</v>
      </c>
    </row>
    <row r="18" spans="1:9">
      <c r="A18" s="7" t="s">
        <v>46</v>
      </c>
      <c r="B18" s="7" t="s">
        <v>64</v>
      </c>
      <c r="C18" s="8">
        <v>5.9</v>
      </c>
      <c r="D18" s="7">
        <v>1</v>
      </c>
      <c r="E18" s="8">
        <f>D18*C18</f>
        <v>5.9</v>
      </c>
      <c r="F18" s="9" t="s">
        <v>19</v>
      </c>
    </row>
    <row r="19" spans="1:9">
      <c r="A19" s="7" t="s">
        <v>46</v>
      </c>
      <c r="B19" s="7" t="s">
        <v>63</v>
      </c>
      <c r="C19" s="8">
        <v>12.9</v>
      </c>
      <c r="D19" s="7">
        <v>1</v>
      </c>
      <c r="E19" s="8">
        <f>D19*C19</f>
        <v>12.9</v>
      </c>
      <c r="F19" s="9" t="s">
        <v>27</v>
      </c>
    </row>
    <row r="20" spans="1:9">
      <c r="A20" s="7" t="s">
        <v>46</v>
      </c>
      <c r="B20" s="7" t="s">
        <v>74</v>
      </c>
      <c r="C20" s="8">
        <v>86.9</v>
      </c>
      <c r="D20" s="7">
        <v>4</v>
      </c>
      <c r="E20" s="8">
        <f>D20*C20</f>
        <v>347.6</v>
      </c>
      <c r="F20" s="9" t="s">
        <v>27</v>
      </c>
    </row>
    <row r="21" spans="1:9">
      <c r="A21" s="7" t="s">
        <v>46</v>
      </c>
      <c r="B21" s="7" t="s">
        <v>75</v>
      </c>
      <c r="C21" s="8">
        <v>10.9</v>
      </c>
      <c r="D21" s="7">
        <v>1</v>
      </c>
      <c r="E21" s="8">
        <f>D21*C21</f>
        <v>10.9</v>
      </c>
      <c r="F21" s="9" t="s">
        <v>27</v>
      </c>
    </row>
    <row r="22" spans="1:9">
      <c r="A22" s="7" t="s">
        <v>9</v>
      </c>
      <c r="B22" s="7" t="s">
        <v>53</v>
      </c>
      <c r="C22" s="8">
        <v>37.950000000000003</v>
      </c>
      <c r="D22" s="7">
        <v>1</v>
      </c>
      <c r="E22" s="8">
        <f>D22*C22</f>
        <v>37.950000000000003</v>
      </c>
      <c r="F22" s="9" t="s">
        <v>40</v>
      </c>
    </row>
    <row r="23" spans="1:9">
      <c r="A23" s="7" t="s">
        <v>9</v>
      </c>
      <c r="B23" s="7" t="s">
        <v>52</v>
      </c>
      <c r="C23" s="8">
        <v>117</v>
      </c>
      <c r="D23" s="7">
        <v>1</v>
      </c>
      <c r="E23" s="8">
        <f>D23*C23</f>
        <v>117</v>
      </c>
      <c r="F23" s="9" t="s">
        <v>40</v>
      </c>
    </row>
    <row r="24" spans="1:9">
      <c r="A24" s="7" t="s">
        <v>9</v>
      </c>
      <c r="B24" s="7" t="s">
        <v>10</v>
      </c>
      <c r="C24" s="8">
        <v>71.94</v>
      </c>
      <c r="D24" s="7">
        <v>1</v>
      </c>
      <c r="E24" s="8">
        <f>D24*C24</f>
        <v>71.94</v>
      </c>
      <c r="F24" s="9" t="s">
        <v>8</v>
      </c>
    </row>
    <row r="25" spans="1:9">
      <c r="A25" s="10" t="s">
        <v>9</v>
      </c>
      <c r="B25" s="11" t="s">
        <v>7</v>
      </c>
      <c r="C25" s="12">
        <v>45.65</v>
      </c>
      <c r="D25" s="11">
        <v>3</v>
      </c>
      <c r="E25" s="12">
        <f>D25*C25</f>
        <v>136.94999999999999</v>
      </c>
      <c r="F25" s="13" t="s">
        <v>8</v>
      </c>
    </row>
    <row r="26" spans="1:9">
      <c r="A26" s="7" t="s">
        <v>9</v>
      </c>
      <c r="B26" s="7" t="s">
        <v>50</v>
      </c>
      <c r="C26" s="8">
        <v>227</v>
      </c>
      <c r="D26" s="7">
        <v>1</v>
      </c>
      <c r="E26" s="8">
        <f>D26*C26</f>
        <v>227</v>
      </c>
      <c r="F26" s="9" t="s">
        <v>14</v>
      </c>
    </row>
    <row r="27" spans="1:9">
      <c r="A27" s="7"/>
      <c r="B27" s="7"/>
      <c r="C27" s="7"/>
      <c r="D27" s="7"/>
      <c r="E27" s="7"/>
      <c r="F27" s="7"/>
    </row>
    <row r="28" spans="1:9" ht="21">
      <c r="A28" s="22" t="s">
        <v>78</v>
      </c>
      <c r="B28" s="22"/>
      <c r="C28" s="22"/>
      <c r="D28" s="22"/>
      <c r="E28" s="22"/>
      <c r="F28" s="22"/>
    </row>
    <row r="29" spans="1:9">
      <c r="A29" s="15" t="s">
        <v>0</v>
      </c>
      <c r="B29" s="16" t="s">
        <v>1</v>
      </c>
      <c r="C29" s="16" t="s">
        <v>2</v>
      </c>
      <c r="D29" s="16" t="s">
        <v>4</v>
      </c>
      <c r="E29" s="16" t="s">
        <v>54</v>
      </c>
      <c r="F29" s="17" t="s">
        <v>6</v>
      </c>
    </row>
    <row r="30" spans="1:9">
      <c r="A30" s="10" t="s">
        <v>25</v>
      </c>
      <c r="B30" s="11" t="s">
        <v>59</v>
      </c>
      <c r="C30" s="12">
        <v>250</v>
      </c>
      <c r="D30" s="11">
        <v>1</v>
      </c>
      <c r="E30" s="12">
        <f>D30*C30</f>
        <v>250</v>
      </c>
      <c r="F30" s="14" t="s">
        <v>60</v>
      </c>
    </row>
    <row r="31" spans="1:9">
      <c r="A31" s="10" t="s">
        <v>25</v>
      </c>
      <c r="B31" s="11" t="s">
        <v>29</v>
      </c>
      <c r="C31" s="12">
        <v>28.4</v>
      </c>
      <c r="D31" s="11">
        <v>1</v>
      </c>
      <c r="E31" s="12">
        <v>28.4</v>
      </c>
      <c r="F31" s="14" t="s">
        <v>14</v>
      </c>
    </row>
    <row r="32" spans="1:9">
      <c r="A32" s="10" t="s">
        <v>25</v>
      </c>
      <c r="B32" s="11" t="s">
        <v>31</v>
      </c>
      <c r="C32" s="12">
        <v>73.05</v>
      </c>
      <c r="D32" s="11">
        <v>1</v>
      </c>
      <c r="E32" s="12">
        <f>D32*C32</f>
        <v>73.05</v>
      </c>
      <c r="F32" s="14" t="s">
        <v>14</v>
      </c>
    </row>
    <row r="33" spans="1:6">
      <c r="A33" s="10" t="s">
        <v>25</v>
      </c>
      <c r="B33" s="11" t="s">
        <v>30</v>
      </c>
      <c r="C33" s="12">
        <v>119.9</v>
      </c>
      <c r="D33" s="11">
        <v>1</v>
      </c>
      <c r="E33" s="12">
        <f>D33*C33</f>
        <v>119.9</v>
      </c>
      <c r="F33" s="14" t="s">
        <v>27</v>
      </c>
    </row>
    <row r="34" spans="1:6">
      <c r="A34" s="7" t="s">
        <v>9</v>
      </c>
      <c r="B34" s="7" t="s">
        <v>11</v>
      </c>
      <c r="C34" s="12">
        <v>187.9</v>
      </c>
      <c r="D34" s="7">
        <v>1</v>
      </c>
      <c r="E34" s="12">
        <f>D34*C34</f>
        <v>187.9</v>
      </c>
      <c r="F34" s="9" t="s">
        <v>80</v>
      </c>
    </row>
    <row r="35" spans="1:6">
      <c r="A35" s="18" t="s">
        <v>25</v>
      </c>
      <c r="B35" s="19" t="s">
        <v>55</v>
      </c>
      <c r="C35" s="20">
        <v>0.47</v>
      </c>
      <c r="D35" s="19">
        <v>11</v>
      </c>
      <c r="E35" s="20">
        <f>D35*C35</f>
        <v>5.17</v>
      </c>
      <c r="F35" s="21" t="s">
        <v>14</v>
      </c>
    </row>
  </sheetData>
  <mergeCells count="2">
    <mergeCell ref="A28:F28"/>
    <mergeCell ref="A1:F1"/>
  </mergeCells>
  <hyperlinks>
    <hyperlink ref="F24" r:id="rId1" xr:uid="{E5DE3561-57B9-4CEB-86DC-8B97AAC17F5E}"/>
    <hyperlink ref="F25" r:id="rId2" xr:uid="{5605CB1B-76E6-4606-8566-3C5471848565}"/>
    <hyperlink ref="F26" r:id="rId3" xr:uid="{9EE9A4DB-B824-46B8-A980-F9ABE32E6C17}"/>
    <hyperlink ref="F22" r:id="rId4" xr:uid="{8DCBB505-07CA-4AFC-8156-940549E11B98}"/>
    <hyperlink ref="F23" r:id="rId5" xr:uid="{7134C862-93F7-4E94-90BA-D2447EE63627}"/>
    <hyperlink ref="F10" r:id="rId6" xr:uid="{6E9E9712-F6D3-4E75-834F-3B8631BD0E35}"/>
    <hyperlink ref="F35" r:id="rId7" xr:uid="{9BBA092A-DAF0-4DCE-9D79-4105AE2841C1}"/>
    <hyperlink ref="F9" r:id="rId8" display="Usina Infor" xr:uid="{E4A10288-09F3-4B4C-A92F-554E57539A46}"/>
    <hyperlink ref="F6" r:id="rId9" xr:uid="{74BE1C2D-6D09-4EE0-96CA-FF9E7EF712CC}"/>
    <hyperlink ref="F8" r:id="rId10" xr:uid="{4226B769-16EF-474F-B43F-DBABF33FF983}"/>
    <hyperlink ref="F33" r:id="rId11" xr:uid="{9D5A7975-3032-47F4-B312-7151A396DF59}"/>
    <hyperlink ref="F32" r:id="rId12" xr:uid="{4464DDC9-E16F-4A66-9599-21192AB19C40}"/>
    <hyperlink ref="F30" r:id="rId13" xr:uid="{96FDC0AD-4D99-415D-BBEE-88B11B8214B3}"/>
    <hyperlink ref="F13" r:id="rId14" xr:uid="{91F9DE91-F038-4516-B45C-6E98F6BAB9D7}"/>
    <hyperlink ref="F18" r:id="rId15" xr:uid="{6FC08954-1D75-464B-828E-92CD438180E5}"/>
    <hyperlink ref="F19" r:id="rId16" xr:uid="{DD770834-B0F6-4985-9620-38AD5D540F4C}"/>
    <hyperlink ref="F15" r:id="rId17" xr:uid="{C5D62CAF-A0A3-40BD-9440-BFB2E0391E47}"/>
    <hyperlink ref="F4" r:id="rId18" xr:uid="{A62CDC8F-6719-4D3D-9092-9C4F7A773225}"/>
    <hyperlink ref="F5" r:id="rId19" xr:uid="{411F895C-A3BA-4299-984F-84E948F558F1}"/>
    <hyperlink ref="F7" r:id="rId20" xr:uid="{F6128C48-CF77-46D1-863F-01EE1D4818D5}"/>
    <hyperlink ref="F11" r:id="rId21" xr:uid="{4F4CC1A4-0621-428B-9BF7-7C3D1C43C619}"/>
    <hyperlink ref="F12" r:id="rId22" xr:uid="{0608B8C2-006F-4352-BA97-2D7136293734}"/>
    <hyperlink ref="F3" r:id="rId23" xr:uid="{DA4115CC-1351-44F7-A1F8-D863E0B82BD1}"/>
    <hyperlink ref="F16" r:id="rId24" xr:uid="{9B7D6A94-D5C0-45E7-A39E-BC93ABD0EA69}"/>
    <hyperlink ref="F17" r:id="rId25" xr:uid="{B7D09E88-8A37-4B87-8C0D-A475C7AD2979}"/>
    <hyperlink ref="F20" r:id="rId26" xr:uid="{963F3A91-8EE9-4779-BA54-910FA166D4B3}"/>
    <hyperlink ref="F21" r:id="rId27" xr:uid="{57B0C4F2-BCEE-428F-995E-95D582C60EFE}"/>
    <hyperlink ref="F34" r:id="rId28" xr:uid="{9080CBBD-E620-4C3C-893D-AF33C1A8FA30}"/>
  </hyperlinks>
  <pageMargins left="0.7" right="0.7" top="0.75" bottom="0.75" header="0.3" footer="0.3"/>
  <tableParts count="3">
    <tablePart r:id="rId29"/>
    <tablePart r:id="rId30"/>
    <tablePart r:id="rId3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0C67F-E9ED-475C-9AEF-6851A132D249}">
  <dimension ref="A1:I72"/>
  <sheetViews>
    <sheetView topLeftCell="A31" workbookViewId="0">
      <selection activeCell="H60" sqref="H60"/>
    </sheetView>
  </sheetViews>
  <sheetFormatPr defaultRowHeight="15"/>
  <cols>
    <col min="1" max="1" width="11.28515625" customWidth="1"/>
    <col min="2" max="8" width="31.42578125" customWidth="1"/>
    <col min="9" max="9" width="8.140625" customWidth="1"/>
  </cols>
  <sheetData>
    <row r="1" spans="1:9" ht="15.75" thickBot="1">
      <c r="A1" s="26"/>
      <c r="B1" s="27"/>
      <c r="C1" s="26"/>
      <c r="D1" s="26"/>
      <c r="E1" s="26"/>
      <c r="F1" s="26"/>
      <c r="G1" s="26"/>
      <c r="H1" s="26"/>
      <c r="I1" s="26"/>
    </row>
    <row r="2" spans="1:9" ht="15.75" thickTop="1">
      <c r="A2" s="28"/>
      <c r="B2" s="29" t="s">
        <v>81</v>
      </c>
      <c r="C2" s="26"/>
      <c r="D2" s="26"/>
      <c r="E2" s="26"/>
      <c r="F2" s="26"/>
      <c r="G2" s="26"/>
      <c r="H2" s="26"/>
      <c r="I2" s="26"/>
    </row>
    <row r="3" spans="1:9" ht="15.75" thickBot="1">
      <c r="A3" s="28"/>
      <c r="B3" s="30">
        <v>8086.82</v>
      </c>
      <c r="C3" s="26"/>
      <c r="D3" s="26"/>
      <c r="E3" s="26"/>
      <c r="F3" s="26"/>
      <c r="G3" s="26"/>
      <c r="H3" s="26"/>
      <c r="I3" s="26"/>
    </row>
    <row r="4" spans="1:9" ht="20.25" customHeight="1" thickTop="1" thickBot="1">
      <c r="A4" s="26"/>
      <c r="B4" s="27"/>
      <c r="C4" s="27"/>
      <c r="D4" s="27"/>
      <c r="E4" s="27"/>
      <c r="F4" s="27"/>
      <c r="G4" s="27"/>
      <c r="H4" s="27"/>
      <c r="I4" s="26"/>
    </row>
    <row r="5" spans="1:9" ht="16.5" thickTop="1" thickBot="1">
      <c r="A5" s="28"/>
      <c r="B5" s="31" t="s">
        <v>0</v>
      </c>
      <c r="C5" s="31" t="s">
        <v>1</v>
      </c>
      <c r="D5" s="31" t="s">
        <v>2</v>
      </c>
      <c r="E5" s="31" t="s">
        <v>3</v>
      </c>
      <c r="F5" s="31" t="s">
        <v>4</v>
      </c>
      <c r="G5" s="31" t="s">
        <v>5</v>
      </c>
      <c r="H5" s="32" t="s">
        <v>6</v>
      </c>
      <c r="I5" s="26"/>
    </row>
    <row r="6" spans="1:9" ht="25.5">
      <c r="A6" s="28"/>
      <c r="B6" s="33" t="s">
        <v>82</v>
      </c>
      <c r="C6" s="33" t="s">
        <v>83</v>
      </c>
      <c r="D6" s="33">
        <v>46.9</v>
      </c>
      <c r="E6" s="34">
        <v>20.23</v>
      </c>
      <c r="F6" s="33">
        <v>1</v>
      </c>
      <c r="G6" s="34">
        <v>67.13</v>
      </c>
      <c r="H6" s="35" t="s">
        <v>19</v>
      </c>
      <c r="I6" s="26"/>
    </row>
    <row r="7" spans="1:9" ht="25.5">
      <c r="A7" s="28"/>
      <c r="B7" s="33" t="s">
        <v>82</v>
      </c>
      <c r="C7" s="33" t="s">
        <v>84</v>
      </c>
      <c r="D7" s="34">
        <v>7.5</v>
      </c>
      <c r="E7" s="34">
        <v>11.08</v>
      </c>
      <c r="F7" s="33">
        <v>3</v>
      </c>
      <c r="G7" s="34">
        <v>33.58</v>
      </c>
      <c r="H7" s="36" t="s">
        <v>85</v>
      </c>
      <c r="I7" s="26"/>
    </row>
    <row r="8" spans="1:9">
      <c r="A8" s="28"/>
      <c r="B8" s="33" t="s">
        <v>82</v>
      </c>
      <c r="C8" s="33" t="s">
        <v>86</v>
      </c>
      <c r="D8" s="34">
        <v>0.25</v>
      </c>
      <c r="E8" s="34">
        <v>0</v>
      </c>
      <c r="F8" s="33">
        <v>20</v>
      </c>
      <c r="G8" s="34">
        <v>5</v>
      </c>
      <c r="H8" s="36" t="s">
        <v>19</v>
      </c>
      <c r="I8" s="26"/>
    </row>
    <row r="9" spans="1:9">
      <c r="A9" s="28"/>
      <c r="B9" s="33" t="s">
        <v>82</v>
      </c>
      <c r="C9" s="33" t="s">
        <v>87</v>
      </c>
      <c r="D9" s="34">
        <v>17.899999999999999</v>
      </c>
      <c r="E9" s="34">
        <v>0</v>
      </c>
      <c r="F9" s="33">
        <v>1</v>
      </c>
      <c r="G9" s="34">
        <v>17.899999999999999</v>
      </c>
      <c r="H9" s="36" t="s">
        <v>19</v>
      </c>
      <c r="I9" s="26"/>
    </row>
    <row r="10" spans="1:9">
      <c r="A10" s="28"/>
      <c r="B10" s="33" t="s">
        <v>82</v>
      </c>
      <c r="C10" s="33" t="s">
        <v>88</v>
      </c>
      <c r="D10" s="34">
        <v>2.5</v>
      </c>
      <c r="E10" s="34">
        <v>0</v>
      </c>
      <c r="F10" s="33">
        <v>10</v>
      </c>
      <c r="G10" s="34">
        <v>25</v>
      </c>
      <c r="H10" s="36" t="s">
        <v>19</v>
      </c>
      <c r="I10" s="26"/>
    </row>
    <row r="11" spans="1:9">
      <c r="A11" s="28"/>
      <c r="B11" s="33" t="s">
        <v>82</v>
      </c>
      <c r="C11" s="33" t="s">
        <v>89</v>
      </c>
      <c r="D11" s="34">
        <v>6.21</v>
      </c>
      <c r="E11" s="34">
        <v>0</v>
      </c>
      <c r="F11" s="33">
        <v>10</v>
      </c>
      <c r="G11" s="34">
        <v>62.1</v>
      </c>
      <c r="H11" s="36" t="s">
        <v>19</v>
      </c>
      <c r="I11" s="26"/>
    </row>
    <row r="12" spans="1:9">
      <c r="A12" s="28"/>
      <c r="B12" s="33" t="s">
        <v>82</v>
      </c>
      <c r="C12" s="33" t="s">
        <v>90</v>
      </c>
      <c r="D12" s="34">
        <v>0.3</v>
      </c>
      <c r="E12" s="34">
        <v>0</v>
      </c>
      <c r="F12" s="33">
        <v>10</v>
      </c>
      <c r="G12" s="34">
        <v>3</v>
      </c>
      <c r="H12" s="36" t="s">
        <v>19</v>
      </c>
      <c r="I12" s="26"/>
    </row>
    <row r="13" spans="1:9">
      <c r="A13" s="28"/>
      <c r="B13" s="33" t="s">
        <v>82</v>
      </c>
      <c r="C13" s="33" t="s">
        <v>91</v>
      </c>
      <c r="D13" s="34">
        <v>12.9</v>
      </c>
      <c r="E13" s="34">
        <v>0</v>
      </c>
      <c r="F13" s="33">
        <v>1</v>
      </c>
      <c r="G13" s="34">
        <v>12.9</v>
      </c>
      <c r="H13" s="36" t="s">
        <v>19</v>
      </c>
      <c r="I13" s="26"/>
    </row>
    <row r="14" spans="1:9">
      <c r="A14" s="28"/>
      <c r="B14" s="33" t="s">
        <v>82</v>
      </c>
      <c r="C14" s="33" t="s">
        <v>92</v>
      </c>
      <c r="D14" s="34">
        <v>92.2</v>
      </c>
      <c r="E14" s="34">
        <v>10.89</v>
      </c>
      <c r="F14" s="33">
        <v>2</v>
      </c>
      <c r="G14" s="34">
        <v>195.29</v>
      </c>
      <c r="H14" s="36" t="s">
        <v>12</v>
      </c>
      <c r="I14" s="26"/>
    </row>
    <row r="15" spans="1:9">
      <c r="A15" s="28"/>
      <c r="B15" s="33" t="s">
        <v>82</v>
      </c>
      <c r="C15" s="33" t="s">
        <v>93</v>
      </c>
      <c r="D15" s="34">
        <v>92.2</v>
      </c>
      <c r="E15" s="34">
        <v>0</v>
      </c>
      <c r="F15" s="33">
        <v>2</v>
      </c>
      <c r="G15" s="34">
        <v>184.4</v>
      </c>
      <c r="H15" s="36" t="s">
        <v>12</v>
      </c>
      <c r="I15" s="26"/>
    </row>
    <row r="16" spans="1:9">
      <c r="A16" s="28"/>
      <c r="B16" s="33" t="s">
        <v>82</v>
      </c>
      <c r="C16" s="33" t="s">
        <v>94</v>
      </c>
      <c r="D16" s="34">
        <v>73.06</v>
      </c>
      <c r="E16" s="34">
        <v>0</v>
      </c>
      <c r="F16" s="33">
        <v>2</v>
      </c>
      <c r="G16" s="34">
        <v>146.12</v>
      </c>
      <c r="H16" s="36" t="s">
        <v>40</v>
      </c>
      <c r="I16" s="26"/>
    </row>
    <row r="17" spans="1:9">
      <c r="A17" s="28"/>
      <c r="B17" s="33" t="s">
        <v>82</v>
      </c>
      <c r="C17" s="33" t="s">
        <v>95</v>
      </c>
      <c r="D17" s="34">
        <v>71.5</v>
      </c>
      <c r="E17" s="34">
        <v>8.52</v>
      </c>
      <c r="F17" s="33">
        <v>2</v>
      </c>
      <c r="G17" s="34">
        <v>151.52000000000001</v>
      </c>
      <c r="H17" s="36" t="s">
        <v>96</v>
      </c>
      <c r="I17" s="26"/>
    </row>
    <row r="18" spans="1:9">
      <c r="A18" s="28"/>
      <c r="B18" s="33" t="s">
        <v>82</v>
      </c>
      <c r="C18" s="33" t="s">
        <v>97</v>
      </c>
      <c r="D18" s="34">
        <v>21.9</v>
      </c>
      <c r="E18" s="34">
        <v>25.9</v>
      </c>
      <c r="F18" s="33">
        <v>1</v>
      </c>
      <c r="G18" s="34">
        <v>47.8</v>
      </c>
      <c r="H18" s="36" t="s">
        <v>98</v>
      </c>
      <c r="I18" s="26"/>
    </row>
    <row r="19" spans="1:9">
      <c r="A19" s="28"/>
      <c r="B19" s="33" t="s">
        <v>82</v>
      </c>
      <c r="C19" s="33" t="s">
        <v>99</v>
      </c>
      <c r="D19" s="34">
        <v>2.5</v>
      </c>
      <c r="E19" s="34">
        <v>0</v>
      </c>
      <c r="F19" s="33">
        <v>5</v>
      </c>
      <c r="G19" s="34">
        <v>12.5</v>
      </c>
      <c r="H19" s="36" t="s">
        <v>19</v>
      </c>
      <c r="I19" s="26"/>
    </row>
    <row r="20" spans="1:9">
      <c r="A20" s="28"/>
      <c r="B20" s="33" t="s">
        <v>82</v>
      </c>
      <c r="C20" s="33" t="s">
        <v>100</v>
      </c>
      <c r="D20" s="34">
        <v>15.9</v>
      </c>
      <c r="E20" s="34">
        <v>0</v>
      </c>
      <c r="F20" s="33">
        <v>2</v>
      </c>
      <c r="G20" s="34">
        <v>31.8</v>
      </c>
      <c r="H20" s="36" t="s">
        <v>19</v>
      </c>
      <c r="I20" s="26"/>
    </row>
    <row r="21" spans="1:9">
      <c r="A21" s="28"/>
      <c r="B21" s="33" t="s">
        <v>82</v>
      </c>
      <c r="C21" s="33" t="s">
        <v>101</v>
      </c>
      <c r="D21" s="34">
        <v>98.01</v>
      </c>
      <c r="E21" s="34">
        <v>21.66</v>
      </c>
      <c r="F21" s="33">
        <v>1</v>
      </c>
      <c r="G21" s="34">
        <v>119.67</v>
      </c>
      <c r="H21" s="36" t="s">
        <v>102</v>
      </c>
      <c r="I21" s="26"/>
    </row>
    <row r="22" spans="1:9">
      <c r="A22" s="28"/>
      <c r="B22" s="33" t="s">
        <v>82</v>
      </c>
      <c r="C22" s="33" t="s">
        <v>103</v>
      </c>
      <c r="D22" s="34">
        <v>32.94</v>
      </c>
      <c r="E22" s="34">
        <v>13.55</v>
      </c>
      <c r="F22" s="33">
        <v>1</v>
      </c>
      <c r="G22" s="34">
        <v>46.49</v>
      </c>
      <c r="H22" s="36" t="s">
        <v>34</v>
      </c>
      <c r="I22" s="26"/>
    </row>
    <row r="23" spans="1:9">
      <c r="A23" s="28"/>
      <c r="B23" s="33" t="s">
        <v>82</v>
      </c>
      <c r="C23" s="33" t="s">
        <v>104</v>
      </c>
      <c r="D23" s="34">
        <v>49.55</v>
      </c>
      <c r="E23" s="34">
        <v>17</v>
      </c>
      <c r="F23" s="33">
        <v>1</v>
      </c>
      <c r="G23" s="34">
        <v>66.55</v>
      </c>
      <c r="H23" s="36" t="s">
        <v>105</v>
      </c>
      <c r="I23" s="26"/>
    </row>
    <row r="24" spans="1:9">
      <c r="A24" s="28"/>
      <c r="B24" s="37" t="s">
        <v>82</v>
      </c>
      <c r="C24" s="37" t="s">
        <v>106</v>
      </c>
      <c r="D24" s="38">
        <v>49.9</v>
      </c>
      <c r="E24" s="38">
        <v>0</v>
      </c>
      <c r="F24" s="37">
        <v>4</v>
      </c>
      <c r="G24" s="38">
        <v>199.6</v>
      </c>
      <c r="H24" s="39" t="s">
        <v>12</v>
      </c>
      <c r="I24" s="26"/>
    </row>
    <row r="25" spans="1:9">
      <c r="A25" s="28"/>
      <c r="B25" s="33" t="s">
        <v>107</v>
      </c>
      <c r="C25" s="33" t="s">
        <v>108</v>
      </c>
      <c r="D25" s="34">
        <v>234.55</v>
      </c>
      <c r="E25" s="34">
        <v>20.84</v>
      </c>
      <c r="F25" s="33">
        <v>2</v>
      </c>
      <c r="G25" s="34">
        <v>489.94</v>
      </c>
      <c r="H25" s="36" t="s">
        <v>14</v>
      </c>
      <c r="I25" s="26"/>
    </row>
    <row r="26" spans="1:9">
      <c r="A26" s="28"/>
      <c r="B26" s="33" t="s">
        <v>107</v>
      </c>
      <c r="C26" s="33" t="s">
        <v>10</v>
      </c>
      <c r="D26" s="34">
        <v>71.94</v>
      </c>
      <c r="E26" s="34">
        <v>29.42</v>
      </c>
      <c r="F26" s="33">
        <v>3</v>
      </c>
      <c r="G26" s="34">
        <v>245.24</v>
      </c>
      <c r="H26" s="36" t="s">
        <v>8</v>
      </c>
      <c r="I26" s="26"/>
    </row>
    <row r="27" spans="1:9">
      <c r="A27" s="28"/>
      <c r="B27" s="33" t="s">
        <v>107</v>
      </c>
      <c r="C27" s="33" t="s">
        <v>7</v>
      </c>
      <c r="D27" s="34">
        <v>45.65</v>
      </c>
      <c r="E27" s="34">
        <v>0</v>
      </c>
      <c r="F27" s="33">
        <v>3</v>
      </c>
      <c r="G27" s="34">
        <v>136.94999999999999</v>
      </c>
      <c r="H27" s="36" t="s">
        <v>8</v>
      </c>
      <c r="I27" s="26"/>
    </row>
    <row r="28" spans="1:9" ht="25.5">
      <c r="A28" s="28"/>
      <c r="B28" s="33" t="s">
        <v>107</v>
      </c>
      <c r="C28" s="33" t="s">
        <v>11</v>
      </c>
      <c r="D28" s="34">
        <v>219.2</v>
      </c>
      <c r="E28" s="34">
        <v>21.14</v>
      </c>
      <c r="F28" s="33">
        <v>1</v>
      </c>
      <c r="G28" s="34">
        <v>240.34</v>
      </c>
      <c r="H28" s="36" t="s">
        <v>12</v>
      </c>
      <c r="I28" s="26"/>
    </row>
    <row r="29" spans="1:9">
      <c r="A29" s="28"/>
      <c r="B29" s="33" t="s">
        <v>107</v>
      </c>
      <c r="C29" s="33" t="s">
        <v>47</v>
      </c>
      <c r="D29" s="34">
        <v>99.9</v>
      </c>
      <c r="E29" s="34">
        <v>13.6</v>
      </c>
      <c r="F29" s="33">
        <v>2</v>
      </c>
      <c r="G29" s="34">
        <v>213.4</v>
      </c>
      <c r="H29" s="36" t="s">
        <v>48</v>
      </c>
      <c r="I29" s="26"/>
    </row>
    <row r="30" spans="1:9">
      <c r="A30" s="28"/>
      <c r="B30" s="33" t="s">
        <v>107</v>
      </c>
      <c r="C30" s="33" t="s">
        <v>49</v>
      </c>
      <c r="D30" s="34">
        <v>8.9</v>
      </c>
      <c r="E30" s="34">
        <v>0</v>
      </c>
      <c r="F30" s="33">
        <v>6</v>
      </c>
      <c r="G30" s="34">
        <v>53.4</v>
      </c>
      <c r="H30" s="36" t="s">
        <v>48</v>
      </c>
      <c r="I30" s="26"/>
    </row>
    <row r="31" spans="1:9">
      <c r="A31" s="28"/>
      <c r="B31" s="33" t="s">
        <v>107</v>
      </c>
      <c r="C31" s="33" t="s">
        <v>45</v>
      </c>
      <c r="D31" s="34">
        <v>589.9</v>
      </c>
      <c r="E31" s="34">
        <v>0</v>
      </c>
      <c r="F31" s="33">
        <v>2</v>
      </c>
      <c r="G31" s="34">
        <v>1179.8</v>
      </c>
      <c r="H31" s="36" t="s">
        <v>27</v>
      </c>
      <c r="I31" s="26"/>
    </row>
    <row r="32" spans="1:9">
      <c r="A32" s="28"/>
      <c r="B32" s="33" t="s">
        <v>107</v>
      </c>
      <c r="C32" s="33" t="s">
        <v>13</v>
      </c>
      <c r="D32" s="34">
        <v>6.55</v>
      </c>
      <c r="E32" s="34">
        <v>0</v>
      </c>
      <c r="F32" s="33">
        <v>4</v>
      </c>
      <c r="G32" s="34">
        <v>26.2</v>
      </c>
      <c r="H32" s="36" t="s">
        <v>14</v>
      </c>
      <c r="I32" s="26"/>
    </row>
    <row r="33" spans="1:9">
      <c r="A33" s="28"/>
      <c r="B33" s="33" t="s">
        <v>107</v>
      </c>
      <c r="C33" s="33" t="s">
        <v>15</v>
      </c>
      <c r="D33" s="34">
        <v>18.899999999999999</v>
      </c>
      <c r="E33" s="34">
        <v>0</v>
      </c>
      <c r="F33" s="33">
        <v>3</v>
      </c>
      <c r="G33" s="34">
        <v>56.7</v>
      </c>
      <c r="H33" s="36" t="s">
        <v>14</v>
      </c>
      <c r="I33" s="26"/>
    </row>
    <row r="34" spans="1:9">
      <c r="A34" s="28"/>
      <c r="B34" s="33" t="s">
        <v>107</v>
      </c>
      <c r="C34" s="33" t="s">
        <v>109</v>
      </c>
      <c r="D34" s="34">
        <v>85.4</v>
      </c>
      <c r="E34" s="34">
        <v>0</v>
      </c>
      <c r="F34" s="33">
        <v>6</v>
      </c>
      <c r="G34" s="34">
        <v>512.4</v>
      </c>
      <c r="H34" s="36" t="s">
        <v>14</v>
      </c>
      <c r="I34" s="26"/>
    </row>
    <row r="35" spans="1:9">
      <c r="A35" s="28"/>
      <c r="B35" s="33" t="s">
        <v>107</v>
      </c>
      <c r="C35" s="33" t="s">
        <v>16</v>
      </c>
      <c r="D35" s="34">
        <v>61.99</v>
      </c>
      <c r="E35" s="34">
        <v>0</v>
      </c>
      <c r="F35" s="33">
        <v>2</v>
      </c>
      <c r="G35" s="34">
        <v>123.98</v>
      </c>
      <c r="H35" s="36" t="s">
        <v>17</v>
      </c>
      <c r="I35" s="26"/>
    </row>
    <row r="36" spans="1:9">
      <c r="A36" s="28"/>
      <c r="B36" s="33" t="s">
        <v>107</v>
      </c>
      <c r="C36" s="33" t="s">
        <v>18</v>
      </c>
      <c r="D36" s="34">
        <v>1.32</v>
      </c>
      <c r="E36" s="34">
        <v>0</v>
      </c>
      <c r="F36" s="33">
        <v>12</v>
      </c>
      <c r="G36" s="34">
        <v>15.84</v>
      </c>
      <c r="H36" s="36" t="s">
        <v>19</v>
      </c>
      <c r="I36" s="26"/>
    </row>
    <row r="37" spans="1:9">
      <c r="A37" s="28"/>
      <c r="B37" s="33" t="s">
        <v>107</v>
      </c>
      <c r="C37" s="33" t="s">
        <v>20</v>
      </c>
      <c r="D37" s="34">
        <v>0.76</v>
      </c>
      <c r="E37" s="34">
        <v>0</v>
      </c>
      <c r="F37" s="33">
        <v>12</v>
      </c>
      <c r="G37" s="34">
        <v>9.1199999999999992</v>
      </c>
      <c r="H37" s="36" t="s">
        <v>19</v>
      </c>
      <c r="I37" s="26"/>
    </row>
    <row r="38" spans="1:9">
      <c r="A38" s="28"/>
      <c r="B38" s="33" t="s">
        <v>107</v>
      </c>
      <c r="C38" s="33" t="s">
        <v>21</v>
      </c>
      <c r="D38" s="34">
        <v>12.26</v>
      </c>
      <c r="E38" s="34">
        <v>0</v>
      </c>
      <c r="F38" s="33">
        <v>2</v>
      </c>
      <c r="G38" s="34">
        <v>24.52</v>
      </c>
      <c r="H38" s="36" t="s">
        <v>19</v>
      </c>
      <c r="I38" s="26"/>
    </row>
    <row r="39" spans="1:9">
      <c r="A39" s="28"/>
      <c r="B39" s="33" t="s">
        <v>107</v>
      </c>
      <c r="C39" s="33" t="s">
        <v>110</v>
      </c>
      <c r="D39" s="34">
        <v>109.99</v>
      </c>
      <c r="E39" s="34">
        <v>0</v>
      </c>
      <c r="F39" s="33">
        <v>2</v>
      </c>
      <c r="G39" s="34">
        <v>219.98</v>
      </c>
      <c r="H39" s="36" t="s">
        <v>17</v>
      </c>
      <c r="I39" s="26"/>
    </row>
    <row r="40" spans="1:9">
      <c r="A40" s="28"/>
      <c r="B40" s="33" t="s">
        <v>107</v>
      </c>
      <c r="C40" s="33" t="s">
        <v>22</v>
      </c>
      <c r="D40" s="34">
        <v>8.4499999999999993</v>
      </c>
      <c r="E40" s="34">
        <v>0</v>
      </c>
      <c r="F40" s="33">
        <v>4</v>
      </c>
      <c r="G40" s="34">
        <v>33.799999999999997</v>
      </c>
      <c r="H40" s="36" t="s">
        <v>14</v>
      </c>
      <c r="I40" s="26"/>
    </row>
    <row r="41" spans="1:9">
      <c r="A41" s="28"/>
      <c r="B41" s="33" t="s">
        <v>107</v>
      </c>
      <c r="C41" s="33" t="s">
        <v>23</v>
      </c>
      <c r="D41" s="34">
        <v>52.2</v>
      </c>
      <c r="E41" s="34">
        <v>0</v>
      </c>
      <c r="F41" s="33">
        <v>2</v>
      </c>
      <c r="G41" s="34">
        <v>104.4</v>
      </c>
      <c r="H41" s="36" t="s">
        <v>19</v>
      </c>
      <c r="I41" s="26"/>
    </row>
    <row r="42" spans="1:9" ht="25.5">
      <c r="A42" s="28"/>
      <c r="B42" s="33" t="s">
        <v>107</v>
      </c>
      <c r="C42" s="33" t="s">
        <v>24</v>
      </c>
      <c r="D42" s="34">
        <v>67.7</v>
      </c>
      <c r="E42" s="34">
        <v>0</v>
      </c>
      <c r="F42" s="33">
        <v>1</v>
      </c>
      <c r="G42" s="34">
        <v>67.7</v>
      </c>
      <c r="H42" s="36" t="s">
        <v>12</v>
      </c>
      <c r="I42" s="26"/>
    </row>
    <row r="43" spans="1:9">
      <c r="A43" s="28"/>
      <c r="B43" s="33" t="s">
        <v>107</v>
      </c>
      <c r="C43" s="33" t="s">
        <v>26</v>
      </c>
      <c r="D43" s="34">
        <v>3.2</v>
      </c>
      <c r="E43" s="34">
        <v>0</v>
      </c>
      <c r="F43" s="33">
        <v>2</v>
      </c>
      <c r="G43" s="34">
        <v>6.4</v>
      </c>
      <c r="H43" s="40" t="s">
        <v>27</v>
      </c>
      <c r="I43" s="26"/>
    </row>
    <row r="44" spans="1:9">
      <c r="A44" s="28"/>
      <c r="B44" s="33" t="s">
        <v>107</v>
      </c>
      <c r="C44" s="33" t="s">
        <v>28</v>
      </c>
      <c r="D44" s="34">
        <v>0.94</v>
      </c>
      <c r="E44" s="34">
        <v>0</v>
      </c>
      <c r="F44" s="33">
        <v>20</v>
      </c>
      <c r="G44" s="34">
        <v>18.8</v>
      </c>
      <c r="H44" s="36" t="s">
        <v>14</v>
      </c>
      <c r="I44" s="26"/>
    </row>
    <row r="45" spans="1:9">
      <c r="A45" s="28"/>
      <c r="B45" s="33" t="s">
        <v>107</v>
      </c>
      <c r="C45" s="33" t="s">
        <v>29</v>
      </c>
      <c r="D45" s="34">
        <v>28.4</v>
      </c>
      <c r="E45" s="34">
        <v>0</v>
      </c>
      <c r="F45" s="33">
        <v>1</v>
      </c>
      <c r="G45" s="34">
        <v>28.4</v>
      </c>
      <c r="H45" s="36" t="s">
        <v>14</v>
      </c>
      <c r="I45" s="26"/>
    </row>
    <row r="46" spans="1:9">
      <c r="A46" s="28"/>
      <c r="B46" s="33" t="s">
        <v>107</v>
      </c>
      <c r="C46" s="33" t="s">
        <v>111</v>
      </c>
      <c r="D46" s="34">
        <v>37.950000000000003</v>
      </c>
      <c r="E46" s="34">
        <v>0</v>
      </c>
      <c r="F46" s="33">
        <v>3</v>
      </c>
      <c r="G46" s="34">
        <v>113.85</v>
      </c>
      <c r="H46" s="36" t="s">
        <v>40</v>
      </c>
      <c r="I46" s="26"/>
    </row>
    <row r="47" spans="1:9">
      <c r="A47" s="28"/>
      <c r="B47" s="33" t="s">
        <v>107</v>
      </c>
      <c r="C47" s="33" t="s">
        <v>30</v>
      </c>
      <c r="D47" s="34">
        <v>142.4</v>
      </c>
      <c r="E47" s="34">
        <v>0</v>
      </c>
      <c r="F47" s="33">
        <v>2</v>
      </c>
      <c r="G47" s="34">
        <v>284.8</v>
      </c>
      <c r="H47" s="36" t="s">
        <v>14</v>
      </c>
      <c r="I47" s="26"/>
    </row>
    <row r="48" spans="1:9">
      <c r="A48" s="28"/>
      <c r="B48" s="33" t="s">
        <v>107</v>
      </c>
      <c r="C48" s="33" t="s">
        <v>31</v>
      </c>
      <c r="D48" s="34">
        <v>73.05</v>
      </c>
      <c r="E48" s="34">
        <v>0</v>
      </c>
      <c r="F48" s="33">
        <v>1</v>
      </c>
      <c r="G48" s="34">
        <v>73.05</v>
      </c>
      <c r="H48" s="36" t="s">
        <v>14</v>
      </c>
      <c r="I48" s="26"/>
    </row>
    <row r="49" spans="1:9">
      <c r="A49" s="28"/>
      <c r="B49" s="33" t="s">
        <v>107</v>
      </c>
      <c r="C49" s="33" t="s">
        <v>32</v>
      </c>
      <c r="D49" s="34">
        <v>42.65</v>
      </c>
      <c r="E49" s="34">
        <v>0</v>
      </c>
      <c r="F49" s="33">
        <v>1</v>
      </c>
      <c r="G49" s="34">
        <v>42.65</v>
      </c>
      <c r="H49" s="36" t="s">
        <v>14</v>
      </c>
      <c r="I49" s="26"/>
    </row>
    <row r="50" spans="1:9">
      <c r="A50" s="28"/>
      <c r="B50" s="33" t="s">
        <v>107</v>
      </c>
      <c r="C50" s="33" t="s">
        <v>112</v>
      </c>
      <c r="D50" s="34">
        <v>0.47</v>
      </c>
      <c r="E50" s="34">
        <v>0</v>
      </c>
      <c r="F50" s="33">
        <v>8</v>
      </c>
      <c r="G50" s="34">
        <v>3.76</v>
      </c>
      <c r="H50" s="36" t="s">
        <v>14</v>
      </c>
      <c r="I50" s="26"/>
    </row>
    <row r="51" spans="1:9">
      <c r="A51" s="28"/>
      <c r="B51" s="33" t="s">
        <v>107</v>
      </c>
      <c r="C51" s="33" t="s">
        <v>33</v>
      </c>
      <c r="D51" s="34">
        <v>203.91</v>
      </c>
      <c r="E51" s="34">
        <v>26.9</v>
      </c>
      <c r="F51" s="33">
        <v>1</v>
      </c>
      <c r="G51" s="34">
        <v>230.81</v>
      </c>
      <c r="H51" s="36" t="s">
        <v>34</v>
      </c>
      <c r="I51" s="26"/>
    </row>
    <row r="52" spans="1:9">
      <c r="A52" s="28"/>
      <c r="B52" s="33" t="s">
        <v>107</v>
      </c>
      <c r="C52" s="33" t="s">
        <v>35</v>
      </c>
      <c r="D52" s="34">
        <v>3</v>
      </c>
      <c r="E52" s="34">
        <v>25.9</v>
      </c>
      <c r="F52" s="33">
        <v>8</v>
      </c>
      <c r="G52" s="34">
        <v>49.9</v>
      </c>
      <c r="H52" s="36" t="s">
        <v>36</v>
      </c>
      <c r="I52" s="26"/>
    </row>
    <row r="53" spans="1:9">
      <c r="A53" s="28"/>
      <c r="B53" s="33" t="s">
        <v>107</v>
      </c>
      <c r="C53" s="33" t="s">
        <v>37</v>
      </c>
      <c r="D53" s="34">
        <v>9.4</v>
      </c>
      <c r="E53" s="34">
        <v>0</v>
      </c>
      <c r="F53" s="33">
        <v>4</v>
      </c>
      <c r="G53" s="34">
        <v>37.6</v>
      </c>
      <c r="H53" s="36" t="s">
        <v>14</v>
      </c>
      <c r="I53" s="26"/>
    </row>
    <row r="54" spans="1:9">
      <c r="A54" s="28"/>
      <c r="B54" s="33" t="s">
        <v>107</v>
      </c>
      <c r="C54" s="33" t="s">
        <v>38</v>
      </c>
      <c r="D54" s="34">
        <v>4.9000000000000004</v>
      </c>
      <c r="E54" s="34">
        <v>0</v>
      </c>
      <c r="F54" s="33">
        <v>8</v>
      </c>
      <c r="G54" s="34">
        <v>39.200000000000003</v>
      </c>
      <c r="H54" s="36" t="s">
        <v>19</v>
      </c>
      <c r="I54" s="26"/>
    </row>
    <row r="55" spans="1:9">
      <c r="A55" s="28"/>
      <c r="B55" s="33" t="s">
        <v>107</v>
      </c>
      <c r="C55" s="33" t="s">
        <v>113</v>
      </c>
      <c r="D55" s="34">
        <v>49.99</v>
      </c>
      <c r="E55" s="34">
        <v>13.69</v>
      </c>
      <c r="F55" s="33">
        <v>3</v>
      </c>
      <c r="G55" s="34">
        <v>163.66</v>
      </c>
      <c r="H55" s="36" t="s">
        <v>34</v>
      </c>
      <c r="I55" s="26"/>
    </row>
    <row r="56" spans="1:9">
      <c r="A56" s="28"/>
      <c r="B56" s="33" t="s">
        <v>107</v>
      </c>
      <c r="C56" s="33" t="s">
        <v>39</v>
      </c>
      <c r="D56" s="34">
        <v>32.700000000000003</v>
      </c>
      <c r="E56" s="34">
        <v>0</v>
      </c>
      <c r="F56" s="33">
        <v>6</v>
      </c>
      <c r="G56" s="34">
        <v>196.2</v>
      </c>
      <c r="H56" s="36" t="s">
        <v>105</v>
      </c>
      <c r="I56" s="26"/>
    </row>
    <row r="57" spans="1:9" ht="15.75" thickBot="1">
      <c r="A57" s="28"/>
      <c r="B57" s="37" t="s">
        <v>107</v>
      </c>
      <c r="C57" s="37" t="s">
        <v>114</v>
      </c>
      <c r="D57" s="38">
        <v>80</v>
      </c>
      <c r="E57" s="38">
        <v>260</v>
      </c>
      <c r="F57" s="37">
        <v>5</v>
      </c>
      <c r="G57" s="41">
        <v>660</v>
      </c>
      <c r="H57" s="42" t="s">
        <v>115</v>
      </c>
      <c r="I57" s="26"/>
    </row>
    <row r="58" spans="1:9">
      <c r="A58" s="28"/>
      <c r="B58" s="33" t="s">
        <v>116</v>
      </c>
      <c r="C58" s="33" t="s">
        <v>117</v>
      </c>
      <c r="D58" s="34">
        <v>34.9</v>
      </c>
      <c r="E58" s="34">
        <v>0</v>
      </c>
      <c r="F58" s="33">
        <v>2</v>
      </c>
      <c r="G58" s="34">
        <v>69.8</v>
      </c>
      <c r="H58" s="36" t="s">
        <v>19</v>
      </c>
      <c r="I58" s="26"/>
    </row>
    <row r="59" spans="1:9">
      <c r="A59" s="28"/>
      <c r="B59" s="33" t="s">
        <v>116</v>
      </c>
      <c r="C59" s="33" t="s">
        <v>118</v>
      </c>
      <c r="D59" s="34">
        <v>4.6500000000000004</v>
      </c>
      <c r="E59" s="34">
        <v>0</v>
      </c>
      <c r="F59" s="33">
        <v>8</v>
      </c>
      <c r="G59" s="34">
        <v>37.200000000000003</v>
      </c>
      <c r="H59" s="36" t="s">
        <v>14</v>
      </c>
      <c r="I59" s="26"/>
    </row>
    <row r="60" spans="1:9">
      <c r="A60" s="28"/>
      <c r="B60" s="33" t="s">
        <v>116</v>
      </c>
      <c r="C60" s="33" t="s">
        <v>119</v>
      </c>
      <c r="D60" s="34">
        <v>85.4</v>
      </c>
      <c r="E60" s="34">
        <v>0</v>
      </c>
      <c r="F60" s="33">
        <v>2</v>
      </c>
      <c r="G60" s="34">
        <v>170.8</v>
      </c>
      <c r="H60" s="40" t="s">
        <v>19</v>
      </c>
      <c r="I60" s="26"/>
    </row>
    <row r="61" spans="1:9">
      <c r="A61" s="28"/>
      <c r="B61" s="33" t="s">
        <v>116</v>
      </c>
      <c r="C61" s="33" t="s">
        <v>120</v>
      </c>
      <c r="D61" s="34">
        <v>18.91</v>
      </c>
      <c r="E61" s="34">
        <v>0</v>
      </c>
      <c r="F61" s="33">
        <v>2</v>
      </c>
      <c r="G61" s="34">
        <v>37.82</v>
      </c>
      <c r="H61" s="36" t="s">
        <v>40</v>
      </c>
      <c r="I61" s="26"/>
    </row>
    <row r="62" spans="1:9" ht="15.75" thickBot="1">
      <c r="A62" s="28"/>
      <c r="B62" s="43" t="s">
        <v>116</v>
      </c>
      <c r="C62" s="43" t="s">
        <v>121</v>
      </c>
      <c r="D62" s="41">
        <v>13.87</v>
      </c>
      <c r="E62" s="41">
        <v>0</v>
      </c>
      <c r="F62" s="43">
        <v>1</v>
      </c>
      <c r="G62" s="41">
        <v>13.87</v>
      </c>
      <c r="H62" s="42" t="s">
        <v>122</v>
      </c>
      <c r="I62" s="26"/>
    </row>
    <row r="63" spans="1:9">
      <c r="A63" s="28"/>
      <c r="B63" s="33" t="s">
        <v>123</v>
      </c>
      <c r="C63" s="33" t="s">
        <v>124</v>
      </c>
      <c r="D63" s="34">
        <v>369.55</v>
      </c>
      <c r="E63" s="34">
        <v>0</v>
      </c>
      <c r="F63" s="33">
        <v>1</v>
      </c>
      <c r="G63" s="34">
        <v>369.55</v>
      </c>
      <c r="H63" s="36" t="s">
        <v>40</v>
      </c>
      <c r="I63" s="26"/>
    </row>
    <row r="64" spans="1:9">
      <c r="A64" s="28"/>
      <c r="B64" s="33" t="s">
        <v>123</v>
      </c>
      <c r="C64" s="33" t="s">
        <v>125</v>
      </c>
      <c r="D64" s="34">
        <v>37.86</v>
      </c>
      <c r="E64" s="34">
        <v>0</v>
      </c>
      <c r="F64" s="33">
        <v>1</v>
      </c>
      <c r="G64" s="34">
        <v>37.86</v>
      </c>
      <c r="H64" s="36" t="s">
        <v>126</v>
      </c>
      <c r="I64" s="26"/>
    </row>
    <row r="65" spans="1:9">
      <c r="A65" s="28"/>
      <c r="B65" s="33" t="s">
        <v>123</v>
      </c>
      <c r="C65" s="33" t="s">
        <v>127</v>
      </c>
      <c r="D65" s="34">
        <v>13.65</v>
      </c>
      <c r="E65" s="34">
        <v>0</v>
      </c>
      <c r="F65" s="33">
        <v>1</v>
      </c>
      <c r="G65" s="34">
        <v>13.65</v>
      </c>
      <c r="H65" s="36" t="s">
        <v>126</v>
      </c>
      <c r="I65" s="26"/>
    </row>
    <row r="66" spans="1:9">
      <c r="A66" s="28"/>
      <c r="B66" s="33" t="s">
        <v>123</v>
      </c>
      <c r="C66" s="33" t="s">
        <v>128</v>
      </c>
      <c r="D66" s="34">
        <v>29.92</v>
      </c>
      <c r="E66" s="34">
        <v>0</v>
      </c>
      <c r="F66" s="33">
        <v>1</v>
      </c>
      <c r="G66" s="34">
        <v>29.92</v>
      </c>
      <c r="H66" s="36" t="s">
        <v>126</v>
      </c>
      <c r="I66" s="26"/>
    </row>
    <row r="67" spans="1:9">
      <c r="A67" s="28"/>
      <c r="B67" s="33" t="s">
        <v>123</v>
      </c>
      <c r="C67" s="33" t="s">
        <v>129</v>
      </c>
      <c r="D67" s="34">
        <v>90.15</v>
      </c>
      <c r="E67" s="34">
        <v>0</v>
      </c>
      <c r="F67" s="33">
        <v>1</v>
      </c>
      <c r="G67" s="34">
        <v>90.15</v>
      </c>
      <c r="H67" s="36" t="s">
        <v>14</v>
      </c>
      <c r="I67" s="26"/>
    </row>
    <row r="68" spans="1:9">
      <c r="A68" s="28"/>
      <c r="B68" s="33" t="s">
        <v>123</v>
      </c>
      <c r="C68" s="33" t="s">
        <v>130</v>
      </c>
      <c r="D68" s="34">
        <v>21.76</v>
      </c>
      <c r="E68" s="34">
        <v>0</v>
      </c>
      <c r="F68" s="33">
        <v>1</v>
      </c>
      <c r="G68" s="34">
        <v>21.76</v>
      </c>
      <c r="H68" s="36" t="s">
        <v>19</v>
      </c>
      <c r="I68" s="26"/>
    </row>
    <row r="69" spans="1:9">
      <c r="A69" s="28"/>
      <c r="B69" s="33" t="s">
        <v>123</v>
      </c>
      <c r="C69" s="33" t="s">
        <v>131</v>
      </c>
      <c r="D69" s="34">
        <v>15.9</v>
      </c>
      <c r="E69" s="34">
        <v>0</v>
      </c>
      <c r="F69" s="33">
        <v>1</v>
      </c>
      <c r="G69" s="34">
        <v>15.9</v>
      </c>
      <c r="H69" s="36" t="s">
        <v>14</v>
      </c>
      <c r="I69" s="26"/>
    </row>
    <row r="70" spans="1:9" ht="15.75" thickBot="1">
      <c r="A70" s="28"/>
      <c r="B70" s="44" t="s">
        <v>123</v>
      </c>
      <c r="C70" s="44" t="s">
        <v>132</v>
      </c>
      <c r="D70" s="45">
        <v>47.4</v>
      </c>
      <c r="E70" s="45">
        <v>0</v>
      </c>
      <c r="F70" s="44">
        <v>1</v>
      </c>
      <c r="G70" s="45">
        <v>47.4</v>
      </c>
      <c r="H70" s="46" t="s">
        <v>19</v>
      </c>
      <c r="I70" s="26"/>
    </row>
    <row r="71" spans="1:9" ht="15.75" thickTop="1">
      <c r="A71" s="26"/>
      <c r="B71" s="26"/>
      <c r="C71" s="26"/>
      <c r="D71" s="26"/>
      <c r="E71" s="26"/>
      <c r="F71" s="26"/>
      <c r="G71" s="26"/>
      <c r="H71" s="26"/>
      <c r="I71" s="26"/>
    </row>
    <row r="72" spans="1:9">
      <c r="A72" s="26"/>
      <c r="B72" s="26"/>
      <c r="C72" s="26"/>
      <c r="D72" s="26"/>
      <c r="E72" s="26"/>
      <c r="F72" s="26"/>
      <c r="G72" s="26"/>
      <c r="H72" s="26"/>
      <c r="I72" s="26"/>
    </row>
  </sheetData>
  <hyperlinks>
    <hyperlink ref="H43" r:id="rId1" display="https://www.saravati.com.br/diodo-schottky-mbr10100ctg-isolado.html" xr:uid="{4A20A8D6-A00B-4A85-BE68-7EC70F3C1130}"/>
    <hyperlink ref="H60" r:id="rId2" display="https://www.eletrogate.com/modulo-gsm-gprs-sim800l-antena-sma?utm_source=google&amp;utm_medium=cpc&amp;utm_campaign=%5bMC4%5d_%5bPMax%5d_PrincipaisCategorias&amp;utm_content&amp;utm_term&amp;gad=1" xr:uid="{3203A55F-9F0E-4B06-A4DF-737AB87868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 3km</vt:lpstr>
      <vt:lpstr>Orçamento Antigo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Barros</dc:creator>
  <cp:lastModifiedBy>Lucas Barros</cp:lastModifiedBy>
  <dcterms:created xsi:type="dcterms:W3CDTF">2024-09-29T21:38:51Z</dcterms:created>
  <dcterms:modified xsi:type="dcterms:W3CDTF">2024-09-30T02:46:55Z</dcterms:modified>
</cp:coreProperties>
</file>